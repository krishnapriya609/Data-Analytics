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748B8254-83C7-45AD-897B-1AF8AEE9CEED}" xr6:coauthVersionLast="47" xr6:coauthVersionMax="47" xr10:uidLastSave="{00000000-0000-0000-0000-000000000000}"/>
  <bookViews>
    <workbookView xWindow="-108" yWindow="-108" windowWidth="23256" windowHeight="12456" activeTab="2" xr2:uid="{C8DF4A1B-353A-4E7F-AD44-91B4A14F39E3}"/>
  </bookViews>
  <sheets>
    <sheet name="Pivot_Table" sheetId="6" r:id="rId1"/>
    <sheet name="DashBoard" sheetId="7" r:id="rId2"/>
    <sheet name="Raw Data" sheetId="3" r:id="rId3"/>
  </sheet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7" l="1"/>
  <c r="G1" i="7"/>
  <c r="D1" i="7"/>
</calcChain>
</file>

<file path=xl/sharedStrings.xml><?xml version="1.0" encoding="utf-8"?>
<sst xmlns="http://schemas.openxmlformats.org/spreadsheetml/2006/main" count="39" uniqueCount="21">
  <si>
    <t>Automated Reporting Workbook</t>
  </si>
  <si>
    <t>Order ID</t>
  </si>
  <si>
    <t>Date</t>
  </si>
  <si>
    <t>Product</t>
  </si>
  <si>
    <t>Category</t>
  </si>
  <si>
    <t>Sales</t>
  </si>
  <si>
    <t>Region</t>
  </si>
  <si>
    <t>Profit</t>
  </si>
  <si>
    <t>Laptop</t>
  </si>
  <si>
    <t>Mobile</t>
  </si>
  <si>
    <t>Electronics</t>
  </si>
  <si>
    <t>South</t>
  </si>
  <si>
    <t>North</t>
  </si>
  <si>
    <t>Row Labels</t>
  </si>
  <si>
    <t>(blank)</t>
  </si>
  <si>
    <t>Grand Total</t>
  </si>
  <si>
    <t>Sum of Sales</t>
  </si>
  <si>
    <t>&lt;01-01-2025</t>
  </si>
  <si>
    <t>Jan</t>
  </si>
  <si>
    <t>Sum of Profit</t>
  </si>
  <si>
    <t>Earpods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</si>
</sst>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sz val="20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[first_workbook.xlsx]Pivot_Table!PivotTable3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Pivot_Table!$D$7:$D$10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(blank)</c:v>
                </c:pt>
              </c:strCache>
            </c:strRef>
          </c:cat>
          <c:val>
            <c:numRef>
              <c:f>Pivot_Table!$E$7:$E$10</c:f>
              <c:numCache>
                <c:formatCode>General</c:formatCode>
                <c:ptCount val="3"/>
                <c:pt idx="0">
                  <c:v>30000</c:v>
                </c:pt>
                <c:pt idx="1">
                  <c:v>50000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7-49CE-B3F5-508533ED0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2912448"/>
        <c:axId val="632909568"/>
        <c:axId val="0"/>
      </c:bar3DChart>
      <c:catAx>
        <c:axId val="6329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09568"/>
        <c:crosses val="autoZero"/>
        <c:auto val="1"/>
        <c:lblAlgn val="ctr"/>
        <c:lblOffset val="100"/>
        <c:noMultiLvlLbl val="0"/>
      </c:catAx>
      <c:valAx>
        <c:axId val="6329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[first_workbook.xlsx]Pivot_Table!PivotTable4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Pivot_Table!$H$10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6C-4FFD-89D8-622B5E88BD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6C-4FFD-89D8-622B5E88BD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6C-4FFD-89D8-622B5E88BD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Pivot_Table!$G$11:$G$15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(blank)</c:v>
                </c:pt>
                <c:pt idx="3">
                  <c:v>Earpods</c:v>
                </c:pt>
              </c:strCache>
            </c:strRef>
          </c:cat>
          <c:val>
            <c:numRef>
              <c:f>Pivot_Table!$H$11:$H$15</c:f>
              <c:numCache>
                <c:formatCode>General</c:formatCode>
                <c:ptCount val="4"/>
                <c:pt idx="0">
                  <c:v>50000</c:v>
                </c:pt>
                <c:pt idx="1">
                  <c:v>30000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6C-4FFD-89D8-622B5E88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[first_workbook.xlsx]Pivot_Table!PivotTable6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Pivot_Table!$K$14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8-4EC6-8A94-760BB7B09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8-4EC6-8A94-760BB7B0909E}"/>
              </c:ext>
            </c:extLst>
          </c:dPt>
          <c:cat>
            <c:strRef>
              <c:f>Pivot_Table!$J$15:$J$17</c:f>
              <c:strCache>
                <c:ptCount val="2"/>
                <c:pt idx="0">
                  <c:v>Electronics</c:v>
                </c:pt>
                <c:pt idx="1">
                  <c:v>(blank)</c:v>
                </c:pt>
              </c:strCache>
            </c:strRef>
          </c:cat>
          <c:val>
            <c:numRef>
              <c:f>Pivot_Table!$K$15:$K$17</c:f>
              <c:numCache>
                <c:formatCode>General</c:formatCode>
                <c:ptCount val="2"/>
                <c:pt idx="0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18-4EC6-8A94-760BB7B0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[first_workbook.xlsx]Pivot_Table!PivotTable2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Pivot_Table!$A$4:$A$6</c:f>
              <c:strCache>
                <c:ptCount val="2"/>
                <c:pt idx="0">
                  <c:v>&lt;01-01-2025</c:v>
                </c:pt>
                <c:pt idx="1">
                  <c:v>Jan</c:v>
                </c:pt>
              </c:strCache>
            </c:strRef>
          </c:cat>
          <c:val>
            <c:numRef>
              <c:f>Pivot_Table!$B$4:$B$6</c:f>
              <c:numCache>
                <c:formatCode>General</c:formatCode>
                <c:ptCount val="2"/>
                <c:pt idx="1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4-40BA-ADFF-4E8A4FFA5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913408"/>
        <c:axId val="632913888"/>
      </c:barChart>
      <c:catAx>
        <c:axId val="6329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13888"/>
        <c:crosses val="autoZero"/>
        <c:auto val="1"/>
        <c:lblAlgn val="ctr"/>
        <c:lblOffset val="100"/>
        <c:noMultiLvlLbl val="0"/>
      </c:catAx>
      <c:valAx>
        <c:axId val="63291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1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76200</xdr:rowOff>
    </xdr:from>
    <xdr:ext cx="1584960" cy="457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834C12-A043-5EF0-6000-9169529D37C8}"/>
            </a:ext>
          </a:extLst>
        </xdr:cNvPr>
        <xdr:cNvSpPr txBox="1"/>
      </xdr:nvSpPr>
      <xdr:spPr>
        <a:xfrm>
          <a:off x="38100" y="76200"/>
          <a:ext cx="158496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600">
              <a:solidFill>
                <a:schemeClr val="accent2">
                  <a:lumMod val="50000"/>
                </a:schemeClr>
              </a:solidFill>
            </a:rPr>
            <a:t>TOTAL SALES</a:t>
          </a:r>
        </a:p>
      </xdr:txBody>
    </xdr:sp>
    <xdr:clientData/>
  </xdr:oneCellAnchor>
  <xdr:oneCellAnchor>
    <xdr:from>
      <xdr:col>3</xdr:col>
      <xdr:colOff>121920</xdr:colOff>
      <xdr:row>0</xdr:row>
      <xdr:rowOff>91440</xdr:rowOff>
    </xdr:from>
    <xdr:ext cx="1371016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FAEFFF-6532-4B40-1D15-9909E19349D2}"/>
            </a:ext>
          </a:extLst>
        </xdr:cNvPr>
        <xdr:cNvSpPr txBox="1"/>
      </xdr:nvSpPr>
      <xdr:spPr>
        <a:xfrm>
          <a:off x="3070860" y="91440"/>
          <a:ext cx="137101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>
              <a:solidFill>
                <a:schemeClr val="accent2">
                  <a:lumMod val="50000"/>
                </a:schemeClr>
              </a:solidFill>
            </a:rPr>
            <a:t>TOTAL PROFIT</a:t>
          </a:r>
        </a:p>
      </xdr:txBody>
    </xdr:sp>
    <xdr:clientData/>
  </xdr:oneCellAnchor>
  <xdr:oneCellAnchor>
    <xdr:from>
      <xdr:col>5</xdr:col>
      <xdr:colOff>556260</xdr:colOff>
      <xdr:row>0</xdr:row>
      <xdr:rowOff>76200</xdr:rowOff>
    </xdr:from>
    <xdr:ext cx="1451295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F2BF65-2EB0-4B40-868A-7F9F823F7DA6}"/>
            </a:ext>
          </a:extLst>
        </xdr:cNvPr>
        <xdr:cNvSpPr txBox="1"/>
      </xdr:nvSpPr>
      <xdr:spPr>
        <a:xfrm>
          <a:off x="5654040" y="76200"/>
          <a:ext cx="14512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>
              <a:solidFill>
                <a:schemeClr val="accent2">
                  <a:lumMod val="50000"/>
                </a:schemeClr>
              </a:solidFill>
            </a:rPr>
            <a:t>TOTAL ORDERS</a:t>
          </a:r>
        </a:p>
      </xdr:txBody>
    </xdr:sp>
    <xdr:clientData/>
  </xdr:oneCellAnchor>
  <xdr:twoCellAnchor>
    <xdr:from>
      <xdr:col>3</xdr:col>
      <xdr:colOff>396240</xdr:colOff>
      <xdr:row>3</xdr:row>
      <xdr:rowOff>175260</xdr:rowOff>
    </xdr:from>
    <xdr:to>
      <xdr:col>6</xdr:col>
      <xdr:colOff>830580</xdr:colOff>
      <xdr:row>18</xdr:row>
      <xdr:rowOff>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4BC44B62-CB6D-9950-F4FB-BF9B1A41D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1165860</xdr:colOff>
      <xdr:row>3</xdr:row>
      <xdr:rowOff>175260</xdr:rowOff>
    </xdr:from>
    <xdr:to>
      <xdr:col>11</xdr:col>
      <xdr:colOff>121920</xdr:colOff>
      <xdr:row>17</xdr:row>
      <xdr:rowOff>167640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3A8F9D6-25EE-80B3-1394-B32A314D5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</xdr:colOff>
      <xdr:row>3</xdr:row>
      <xdr:rowOff>179070</xdr:rowOff>
    </xdr:from>
    <xdr:to>
      <xdr:col>17</xdr:col>
      <xdr:colOff>0</xdr:colOff>
      <xdr:row>18</xdr:row>
      <xdr:rowOff>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E43BDF12-4B45-3D67-7A53-8F4CFF74D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</xdr:row>
      <xdr:rowOff>179070</xdr:rowOff>
    </xdr:from>
    <xdr:to>
      <xdr:col>3</xdr:col>
      <xdr:colOff>106680</xdr:colOff>
      <xdr:row>17</xdr:row>
      <xdr:rowOff>175260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4910B595-9FB0-8C69-822D-E41255E4B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15240</xdr:colOff>
      <xdr:row>0</xdr:row>
      <xdr:rowOff>1</xdr:rowOff>
    </xdr:from>
    <xdr:to>
      <xdr:col>12</xdr:col>
      <xdr:colOff>436059</xdr:colOff>
      <xdr:row>1</xdr:row>
      <xdr:rowOff>7620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4DF8AA8-0208-A836-EEC2-E918B451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13420" y="1"/>
          <a:ext cx="2249619" cy="11048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priya A R" refreshedDate="46176.580845023149" createdVersion="8" refreshedVersion="8" minRefreshableVersion="3" recordCount="5" xr:uid="{3621A453-0123-4BDD-86BD-56D84FAEFDA1}">
  <cacheSource type="worksheet">
    <worksheetSource name="Sales_Data"/>
  </cacheSource>
  <cacheFields count="8">
    <cacheField name="Order ID" numFmtId="0">
      <sharedItems containsString="0" containsBlank="1" containsNumber="1" containsInteger="1" minValue="1001" maxValue="1003"/>
    </cacheField>
    <cacheField name="Date" numFmtId="0">
      <sharedItems containsNonDate="0" containsDate="1" containsString="0" containsBlank="1" minDate="2025-01-01T00:00:00" maxDate="2025-01-04T00:00:00" count="4">
        <m/>
        <d v="2025-01-01T00:00:00"/>
        <d v="2025-01-02T00:00:00"/>
        <d v="2025-01-03T00:00:00"/>
      </sharedItems>
      <fieldGroup par="7"/>
    </cacheField>
    <cacheField name="Product" numFmtId="0">
      <sharedItems containsBlank="1" count="4">
        <m/>
        <s v="Laptop"/>
        <s v="Mobile"/>
        <s v="Earpods"/>
      </sharedItems>
    </cacheField>
    <cacheField name="Category" numFmtId="0">
      <sharedItems containsBlank="1" count="2">
        <m/>
        <s v="Electronics"/>
      </sharedItems>
    </cacheField>
    <cacheField name="Region" numFmtId="0">
      <sharedItems containsBlank="1" count="3">
        <m/>
        <s v="South"/>
        <s v="North"/>
      </sharedItems>
    </cacheField>
    <cacheField name="Sales" numFmtId="0">
      <sharedItems containsString="0" containsBlank="1" containsNumber="1" containsInteger="1" minValue="30000" maxValue="60000"/>
    </cacheField>
    <cacheField name="Profit" numFmtId="0">
      <sharedItems containsString="0" containsBlank="1" containsNumber="1" containsInteger="1" minValue="4000" maxValue="8000"/>
    </cacheField>
    <cacheField name="Months (Date)" numFmtId="0" databaseField="0">
      <fieldGroup base="1">
        <rangePr groupBy="months" startDate="2025-01-01T00:00:00" endDate="2025-01-04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1-2025"/>
        </groupItems>
      </fieldGroup>
    </cacheField>
  </cacheFields>
  <extLst>
    <ext xmlns:x14="http://schemas.microsoft.com/office/spreadsheetml/2009/9/main" uri="{725AE2AE-9491-48be-B2B4-4EB974FC3084}">
      <x14:pivotCacheDefinition pivotCacheId="7777683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m/>
    <x v="0"/>
    <x v="0"/>
    <x v="0"/>
    <x v="0"/>
    <m/>
    <m/>
  </r>
  <r>
    <n v="1001"/>
    <x v="1"/>
    <x v="1"/>
    <x v="1"/>
    <x v="1"/>
    <n v="50000"/>
    <n v="8000"/>
  </r>
  <r>
    <n v="1002"/>
    <x v="2"/>
    <x v="2"/>
    <x v="1"/>
    <x v="2"/>
    <n v="30000"/>
    <n v="5000"/>
  </r>
  <r>
    <n v="1003"/>
    <x v="3"/>
    <x v="3"/>
    <x v="1"/>
    <x v="0"/>
    <n v="60000"/>
    <n v="4000"/>
  </r>
  <r>
    <m/>
    <x v="0"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8D96D-C8E7-47C4-AFC0-50EC505F6A04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J14:K17" firstHeaderRow="1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Profit" fld="6" baseField="0" baseItem="0"/>
  </dataFields>
  <chartFormats count="3"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4D7C7-4587-4507-A1A3-CEA93F77AFA8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0:H15" firstHeaderRow="1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4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F4B50-73E1-428B-9BE5-366B23FC6109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6:E10" firstHeaderRow="1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C0FCC-73D0-4EAE-92A5-78D15E8A472D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6" firstHeaderRow="1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1"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13C7F-66EA-48D5-B98C-C3F4A834E01C}" name="Sales_Data" displayName="Sales_Data" ref="A2:G7" totalsRowShown="0">
  <autoFilter ref="A2:G7" xr:uid="{EDD13C7F-66EA-48D5-B98C-C3F4A834E01C}"/>
  <tableColumns count="7">
    <tableColumn id="1" xr3:uid="{FD8740ED-C916-46FC-9FB9-07F0F657375D}" name="Order ID"/>
    <tableColumn id="2" xr3:uid="{A085B9A5-B1EC-4F77-B338-793AA973F59A}" name="Date"/>
    <tableColumn id="3" xr3:uid="{079401F1-F178-4CB9-BA8B-29C9BED209ED}" name="Product"/>
    <tableColumn id="4" xr3:uid="{83D42377-74DB-4B1D-AD56-D0FCDE957451}" name="Category"/>
    <tableColumn id="5" xr3:uid="{00772CCF-2D40-4340-A365-E12A1E4178A5}" name="Region"/>
    <tableColumn id="6" xr3:uid="{C4E0A699-2C5A-461F-8576-F055D31A535E}" name="Sales"/>
    <tableColumn id="7" xr3:uid="{9328F875-1D3A-4C31-8C13-DD33E42CF6C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45FE-D49D-4D6D-8F08-EDE592286F5A}">
  <dimension ref="A3:K17"/>
  <sheetViews>
    <sheetView workbookViewId="0">
      <selection activeCell="G10" sqref="G10:H14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1.6640625" bestFit="1" customWidth="1"/>
    <col min="7" max="7" width="12.5546875" bestFit="1" customWidth="1"/>
    <col min="8" max="8" width="11.6640625" bestFit="1" customWidth="1"/>
    <col min="10" max="10" width="12.5546875" bestFit="1" customWidth="1"/>
    <col min="11" max="11" width="12.109375" bestFit="1" customWidth="1"/>
  </cols>
  <sheetData>
    <row r="3" spans="1:11" x14ac:dyDescent="0.3">
      <c r="A3" s="5" t="s">
        <v>13</v>
      </c>
      <c r="B3" t="s">
        <v>16</v>
      </c>
    </row>
    <row r="4" spans="1:11" x14ac:dyDescent="0.3">
      <c r="A4" s="1" t="s">
        <v>17</v>
      </c>
      <c r="B4" s="6"/>
    </row>
    <row r="5" spans="1:11" x14ac:dyDescent="0.3">
      <c r="A5" s="1" t="s">
        <v>18</v>
      </c>
      <c r="B5" s="6">
        <v>140000</v>
      </c>
    </row>
    <row r="6" spans="1:11" x14ac:dyDescent="0.3">
      <c r="A6" s="1" t="s">
        <v>15</v>
      </c>
      <c r="B6" s="6">
        <v>140000</v>
      </c>
      <c r="D6" s="5" t="s">
        <v>13</v>
      </c>
      <c r="E6" t="s">
        <v>16</v>
      </c>
    </row>
    <row r="7" spans="1:11" x14ac:dyDescent="0.3">
      <c r="D7" s="1" t="s">
        <v>12</v>
      </c>
      <c r="E7" s="6">
        <v>30000</v>
      </c>
    </row>
    <row r="8" spans="1:11" x14ac:dyDescent="0.3">
      <c r="D8" s="1" t="s">
        <v>11</v>
      </c>
      <c r="E8" s="6">
        <v>50000</v>
      </c>
    </row>
    <row r="9" spans="1:11" x14ac:dyDescent="0.3">
      <c r="D9" s="1" t="s">
        <v>14</v>
      </c>
      <c r="E9" s="6">
        <v>60000</v>
      </c>
    </row>
    <row r="10" spans="1:11" x14ac:dyDescent="0.3">
      <c r="D10" s="1" t="s">
        <v>15</v>
      </c>
      <c r="E10" s="6">
        <v>140000</v>
      </c>
      <c r="G10" s="5" t="s">
        <v>13</v>
      </c>
      <c r="H10" t="s">
        <v>16</v>
      </c>
    </row>
    <row r="11" spans="1:11" x14ac:dyDescent="0.3">
      <c r="G11" s="1" t="s">
        <v>8</v>
      </c>
      <c r="H11" s="6">
        <v>50000</v>
      </c>
    </row>
    <row r="12" spans="1:11" x14ac:dyDescent="0.3">
      <c r="G12" s="1" t="s">
        <v>9</v>
      </c>
      <c r="H12" s="6">
        <v>30000</v>
      </c>
    </row>
    <row r="13" spans="1:11" x14ac:dyDescent="0.3">
      <c r="G13" s="1" t="s">
        <v>14</v>
      </c>
      <c r="H13" s="6"/>
    </row>
    <row r="14" spans="1:11" x14ac:dyDescent="0.3">
      <c r="G14" s="1" t="s">
        <v>20</v>
      </c>
      <c r="H14" s="6">
        <v>60000</v>
      </c>
      <c r="J14" s="5" t="s">
        <v>13</v>
      </c>
      <c r="K14" t="s">
        <v>19</v>
      </c>
    </row>
    <row r="15" spans="1:11" x14ac:dyDescent="0.3">
      <c r="G15" s="1" t="s">
        <v>15</v>
      </c>
      <c r="H15" s="6">
        <v>140000</v>
      </c>
      <c r="J15" s="1" t="s">
        <v>10</v>
      </c>
      <c r="K15" s="6">
        <v>17000</v>
      </c>
    </row>
    <row r="16" spans="1:11" x14ac:dyDescent="0.3">
      <c r="J16" s="1" t="s">
        <v>14</v>
      </c>
      <c r="K16" s="6"/>
    </row>
    <row r="17" spans="10:11" x14ac:dyDescent="0.3">
      <c r="J17" s="1" t="s">
        <v>15</v>
      </c>
      <c r="K17" s="6">
        <v>17000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80F2-D1B3-4E80-ADB4-CEC089F00B2F}">
  <dimension ref="A1:G1"/>
  <sheetViews>
    <sheetView workbookViewId="0">
      <selection activeCell="I1" sqref="I1"/>
    </sheetView>
  </sheetViews>
  <sheetFormatPr defaultRowHeight="14.4" x14ac:dyDescent="0.3"/>
  <cols>
    <col min="1" max="1" width="25.21875" customWidth="1"/>
    <col min="4" max="4" width="22.44140625" customWidth="1"/>
    <col min="7" max="7" width="20" customWidth="1"/>
  </cols>
  <sheetData>
    <row r="1" spans="1:7" ht="86.4" customHeight="1" x14ac:dyDescent="0.5">
      <c r="A1" s="7">
        <f>SUM(Sales_Data[Sales])</f>
        <v>140000</v>
      </c>
      <c r="D1" s="7">
        <f>SUM(Sales_Data[Profit])</f>
        <v>17000</v>
      </c>
      <c r="G1" s="7">
        <f>COUNTA(Sales_Data[Order ID])</f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222B-4831-4475-AE4E-A0AE83D99463}">
  <dimension ref="A1:R6"/>
  <sheetViews>
    <sheetView tabSelected="1" workbookViewId="0">
      <selection activeCell="G7" sqref="G7"/>
    </sheetView>
  </sheetViews>
  <sheetFormatPr defaultRowHeight="14.4" x14ac:dyDescent="0.3"/>
  <cols>
    <col min="1" max="7" width="10.44140625" customWidth="1"/>
  </cols>
  <sheetData>
    <row r="1" spans="1:18" ht="23.4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5</v>
      </c>
      <c r="G2" s="2" t="s">
        <v>7</v>
      </c>
    </row>
    <row r="3" spans="1:18" x14ac:dyDescent="0.3">
      <c r="H3" s="2"/>
    </row>
    <row r="4" spans="1:18" x14ac:dyDescent="0.3">
      <c r="A4">
        <v>1001</v>
      </c>
      <c r="B4" s="4">
        <v>45658</v>
      </c>
      <c r="C4" t="s">
        <v>8</v>
      </c>
      <c r="D4" t="s">
        <v>10</v>
      </c>
      <c r="E4" t="s">
        <v>11</v>
      </c>
      <c r="F4">
        <v>50000</v>
      </c>
      <c r="G4">
        <v>8000</v>
      </c>
    </row>
    <row r="5" spans="1:18" x14ac:dyDescent="0.3">
      <c r="A5">
        <v>1002</v>
      </c>
      <c r="B5" s="4">
        <v>45659</v>
      </c>
      <c r="C5" t="s">
        <v>9</v>
      </c>
      <c r="D5" t="s">
        <v>10</v>
      </c>
      <c r="E5" t="s">
        <v>12</v>
      </c>
      <c r="F5">
        <v>30000</v>
      </c>
      <c r="G5">
        <v>5000</v>
      </c>
    </row>
    <row r="6" spans="1:18" x14ac:dyDescent="0.3">
      <c r="A6">
        <v>1003</v>
      </c>
      <c r="B6" s="4">
        <v>45660</v>
      </c>
      <c r="C6" t="s">
        <v>20</v>
      </c>
      <c r="D6" t="s">
        <v>10</v>
      </c>
      <c r="F6">
        <v>60000</v>
      </c>
      <c r="G6">
        <v>4000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DashBoard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Krishnapriya A R</dc:creator>
  <cp:lastModifiedBy>Krishnapriya A R</cp:lastModifiedBy>
  <dcterms:created xsi:type="dcterms:W3CDTF">2026-06-03T05:53:42Z</dcterms:created>
  <dcterms:modified xsi:type="dcterms:W3CDTF">2026-06-03T08:28:16Z</dcterms:modified>
</cp:coreProperties>
</file>